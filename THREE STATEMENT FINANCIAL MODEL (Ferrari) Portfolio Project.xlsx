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DD7E7C-814C-4A6A-82D7-E6B3FB7999DD}" xr6:coauthVersionLast="47" xr6:coauthVersionMax="47" xr10:uidLastSave="{00000000-0000-0000-0000-000000000000}"/>
  <bookViews>
    <workbookView xWindow="-120" yWindow="-120" windowWidth="20730" windowHeight="11160" xr2:uid="{D0D0D69D-3532-45D6-9339-15F86F4D99A7}"/>
  </bookViews>
  <sheets>
    <sheet name="Cover" sheetId="5" r:id="rId1"/>
    <sheet name="Assumptions " sheetId="1" r:id="rId2"/>
    <sheet name="Income Statement" sheetId="2" r:id="rId3"/>
    <sheet name="Balance Sheet" sheetId="3" r:id="rId4"/>
    <sheet name="Cash Flow Statemen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H4" i="3"/>
  <c r="I4" i="3"/>
  <c r="J4" i="3"/>
  <c r="J8" i="3" s="1"/>
  <c r="J15" i="3" s="1"/>
  <c r="F4" i="3"/>
  <c r="J14" i="4"/>
  <c r="J13" i="4"/>
  <c r="I14" i="4"/>
  <c r="I13" i="4"/>
  <c r="H14" i="4"/>
  <c r="H13" i="4"/>
  <c r="G14" i="4"/>
  <c r="G13" i="4"/>
  <c r="F14" i="4"/>
  <c r="H15" i="3"/>
  <c r="J13" i="3"/>
  <c r="G13" i="3"/>
  <c r="H13" i="3"/>
  <c r="I13" i="3"/>
  <c r="F13" i="3"/>
  <c r="G8" i="3"/>
  <c r="G15" i="3" s="1"/>
  <c r="H8" i="3"/>
  <c r="I8" i="3"/>
  <c r="I15" i="3" s="1"/>
  <c r="F8" i="3"/>
  <c r="F15" i="3" s="1"/>
  <c r="D15" i="3"/>
  <c r="E15" i="3"/>
  <c r="D13" i="3"/>
  <c r="E13" i="3"/>
  <c r="D8" i="3"/>
  <c r="E8" i="3"/>
  <c r="C15" i="3"/>
  <c r="C13" i="3"/>
  <c r="C8" i="3"/>
  <c r="F6" i="2"/>
  <c r="E10" i="2"/>
  <c r="D10" i="2"/>
  <c r="C10" i="2"/>
  <c r="E6" i="2"/>
  <c r="D6" i="2"/>
  <c r="C6" i="2"/>
  <c r="G23" i="1"/>
  <c r="H23" i="1"/>
  <c r="I23" i="1"/>
  <c r="J23" i="1"/>
  <c r="F23" i="1"/>
  <c r="G22" i="1"/>
  <c r="H22" i="1"/>
  <c r="I22" i="1"/>
  <c r="J22" i="1"/>
  <c r="F22" i="1"/>
  <c r="G21" i="1"/>
  <c r="H21" i="1"/>
  <c r="I21" i="1"/>
  <c r="J21" i="1"/>
  <c r="F21" i="1"/>
  <c r="G20" i="1"/>
  <c r="H20" i="1"/>
  <c r="I20" i="1"/>
  <c r="J20" i="1"/>
  <c r="F20" i="1"/>
</calcChain>
</file>

<file path=xl/sharedStrings.xml><?xml version="1.0" encoding="utf-8"?>
<sst xmlns="http://schemas.openxmlformats.org/spreadsheetml/2006/main" count="112" uniqueCount="69">
  <si>
    <t>Voci\Variabili</t>
  </si>
  <si>
    <t xml:space="preserve">Unità di misura </t>
  </si>
  <si>
    <t>Ricavi totali</t>
  </si>
  <si>
    <t xml:space="preserve">EUR m </t>
  </si>
  <si>
    <t xml:space="preserve">di cui auto e ricambi </t>
  </si>
  <si>
    <t xml:space="preserve">di cui sponsor, comm. e brand </t>
  </si>
  <si>
    <t xml:space="preserve">di cui motori e altro </t>
  </si>
  <si>
    <t>Costo del venduto</t>
  </si>
  <si>
    <t>Spese SG&amp;A</t>
  </si>
  <si>
    <t>Spese R&amp;D</t>
  </si>
  <si>
    <t>Ammortamenti</t>
  </si>
  <si>
    <t xml:space="preserve">Oneri finanziari netti </t>
  </si>
  <si>
    <t>Aliquota Fiscale effettiva</t>
  </si>
  <si>
    <t>%</t>
  </si>
  <si>
    <t>Crescita Ricavi totali</t>
  </si>
  <si>
    <t>Costo del venduto\ricavi</t>
  </si>
  <si>
    <t>SG&amp;A\Ricavi</t>
  </si>
  <si>
    <t>R&amp;D\Ricavi</t>
  </si>
  <si>
    <t>Base</t>
  </si>
  <si>
    <t>Seleziona scenario</t>
  </si>
  <si>
    <t>Costo del venduto \ ricavi</t>
  </si>
  <si>
    <t xml:space="preserve">Crescita ricavi totali </t>
  </si>
  <si>
    <t xml:space="preserve">Voci di bilancio </t>
  </si>
  <si>
    <t>Unità</t>
  </si>
  <si>
    <t>EUR m</t>
  </si>
  <si>
    <t xml:space="preserve">Costo del venduto </t>
  </si>
  <si>
    <t>EBITDA</t>
  </si>
  <si>
    <t>EBIT</t>
  </si>
  <si>
    <t>Cash &amp; Cash Equivalents</t>
  </si>
  <si>
    <t>Trade receivables</t>
  </si>
  <si>
    <t>Inventories</t>
  </si>
  <si>
    <t>PP&amp;E &amp; Intangibles</t>
  </si>
  <si>
    <t>TOT. ASSETS</t>
  </si>
  <si>
    <t>ASSETS</t>
  </si>
  <si>
    <t>LIABILITIES &amp; EQUITY</t>
  </si>
  <si>
    <t xml:space="preserve">Unità </t>
  </si>
  <si>
    <t>Trade Payables</t>
  </si>
  <si>
    <t>Total Debt</t>
  </si>
  <si>
    <t>Shareholders' Equity</t>
  </si>
  <si>
    <t>TOT.</t>
  </si>
  <si>
    <t>BALANCE CHECK</t>
  </si>
  <si>
    <t>(+) D&amp;A</t>
  </si>
  <si>
    <t>(-)Variazione del CCN</t>
  </si>
  <si>
    <t xml:space="preserve">Flusso di cassa operativo </t>
  </si>
  <si>
    <t xml:space="preserve">(-) Spese in conto capitale </t>
  </si>
  <si>
    <t xml:space="preserve">Flusso di cassa da investimento </t>
  </si>
  <si>
    <t xml:space="preserve">(+) Variazione del debito finanziario </t>
  </si>
  <si>
    <t xml:space="preserve">Flusso di cassa da finanziamento </t>
  </si>
  <si>
    <t xml:space="preserve">Variazione netta di cassa </t>
  </si>
  <si>
    <t xml:space="preserve">Cassa iniziale </t>
  </si>
  <si>
    <t xml:space="preserve">CASSA FINALE </t>
  </si>
  <si>
    <t>Voci</t>
  </si>
  <si>
    <t xml:space="preserve">Ferrari N.V. (NYSE: RACE / MTA: RACE) - Valuation &amp; Forecasting Framework </t>
  </si>
  <si>
    <t>Ferrari N.V.</t>
  </si>
  <si>
    <t xml:space="preserve">Historical (2023-2025) // Projection (2026-2030) </t>
  </si>
  <si>
    <t xml:space="preserve">Base, Case, Upside, Downside (Dynamic Toogle Enabled) </t>
  </si>
  <si>
    <t>PREPARED BY:</t>
  </si>
  <si>
    <t>TARGET COMPANY:</t>
  </si>
  <si>
    <t>MODEL HORIZON:</t>
  </si>
  <si>
    <t>Marco Avellino</t>
  </si>
  <si>
    <t xml:space="preserve">DATE OF EMISSION: </t>
  </si>
  <si>
    <r>
      <rPr>
        <b/>
        <sz val="11"/>
        <color theme="1"/>
        <rFont val="Calibri"/>
        <family val="2"/>
        <scheme val="minor"/>
      </rPr>
      <t>SCENARIOS INCLUDED</t>
    </r>
    <r>
      <rPr>
        <sz val="11"/>
        <color theme="1"/>
        <rFont val="Calibri"/>
        <family val="2"/>
        <scheme val="minor"/>
      </rPr>
      <t>:</t>
    </r>
  </si>
  <si>
    <t xml:space="preserve">1. Cover | - Project metadata and layout introductory notes. </t>
  </si>
  <si>
    <t xml:space="preserve">2. Assumptions | - Macroeconomic drivers, scenario toogle engine, and margins. </t>
  </si>
  <si>
    <t>5. Cash Flow Statement | - Cash generation tracking via indirect method and balance check resolution.</t>
  </si>
  <si>
    <t>3. Income Statement | - Historical revenue performance and operational profitability (EBITDA/EBIT).</t>
  </si>
  <si>
    <t>4. Balance Sheet | - Capital structure mapping and automated balancing engine.</t>
  </si>
  <si>
    <r>
      <rPr>
        <b/>
        <sz val="11"/>
        <color theme="1"/>
        <rFont val="Calibri"/>
        <family val="2"/>
        <scheme val="minor"/>
      </rPr>
      <t>MODEL STRUCTURE &amp; INDEX: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</si>
  <si>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8"/>
        <color theme="1"/>
        <rFont val="Calibri"/>
        <family val="2"/>
        <scheme val="minor"/>
      </rPr>
      <t>INTEGRATED THREE-STATEMENT FINANCIAL MODEL</t>
    </r>
    <r>
      <rPr>
        <sz val="18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</si>
</sst>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3" fontId="2" fillId="0" borderId="0" xfId="0" applyNumberFormat="1" applyFont="1"/>
    <xf numFmtId="10" fontId="2" fillId="0" borderId="0" xfId="0" applyNumberFormat="1" applyFont="1"/>
    <xf numFmtId="3" fontId="0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Font="1"/>
    <xf numFmtId="14" fontId="0" fillId="0" borderId="0" xfId="0" applyNumberFormat="1"/>
    <xf numFmtId="0" fontId="5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75F9-2526-4490-8ACA-B83EAEF6BAFD}">
  <dimension ref="B3:J23"/>
  <sheetViews>
    <sheetView showGridLines="0" tabSelected="1" workbookViewId="0">
      <selection activeCell="O8" sqref="O8"/>
    </sheetView>
  </sheetViews>
  <sheetFormatPr defaultRowHeight="15" x14ac:dyDescent="0.25"/>
  <cols>
    <col min="4" max="4" width="10.7109375" bestFit="1" customWidth="1"/>
  </cols>
  <sheetData>
    <row r="3" spans="2:10" ht="23.25" x14ac:dyDescent="0.35">
      <c r="B3" s="11" t="s">
        <v>68</v>
      </c>
    </row>
    <row r="4" spans="2:10" ht="15.75" x14ac:dyDescent="0.25">
      <c r="B4" s="12" t="s">
        <v>52</v>
      </c>
    </row>
    <row r="5" spans="2:10" ht="15.75" x14ac:dyDescent="0.25">
      <c r="B5" s="15"/>
      <c r="C5" s="15"/>
      <c r="D5" s="15"/>
      <c r="E5" s="15"/>
      <c r="F5" s="15"/>
      <c r="G5" s="15"/>
      <c r="H5" s="15"/>
      <c r="I5" s="15"/>
      <c r="J5" s="13"/>
    </row>
    <row r="10" spans="2:10" x14ac:dyDescent="0.25">
      <c r="B10" s="3" t="s">
        <v>57</v>
      </c>
      <c r="D10" t="s">
        <v>53</v>
      </c>
    </row>
    <row r="11" spans="2:10" x14ac:dyDescent="0.25">
      <c r="B11" s="3" t="s">
        <v>58</v>
      </c>
      <c r="D11" t="s">
        <v>54</v>
      </c>
    </row>
    <row r="12" spans="2:10" x14ac:dyDescent="0.25">
      <c r="B12" t="s">
        <v>61</v>
      </c>
      <c r="D12" t="s">
        <v>55</v>
      </c>
    </row>
    <row r="13" spans="2:10" x14ac:dyDescent="0.25">
      <c r="B13" s="3" t="s">
        <v>56</v>
      </c>
      <c r="D13" t="s">
        <v>59</v>
      </c>
    </row>
    <row r="14" spans="2:10" x14ac:dyDescent="0.25">
      <c r="B14" s="3" t="s">
        <v>60</v>
      </c>
      <c r="D14" s="14">
        <v>46281</v>
      </c>
    </row>
    <row r="18" spans="2:2" x14ac:dyDescent="0.25">
      <c r="B18" t="s">
        <v>67</v>
      </c>
    </row>
    <row r="19" spans="2:2" x14ac:dyDescent="0.25">
      <c r="B19" t="s">
        <v>62</v>
      </c>
    </row>
    <row r="20" spans="2:2" x14ac:dyDescent="0.25">
      <c r="B20" t="s">
        <v>63</v>
      </c>
    </row>
    <row r="21" spans="2:2" x14ac:dyDescent="0.25">
      <c r="B21" t="s">
        <v>65</v>
      </c>
    </row>
    <row r="22" spans="2:2" x14ac:dyDescent="0.25">
      <c r="B22" t="s">
        <v>66</v>
      </c>
    </row>
    <row r="23" spans="2:2" x14ac:dyDescent="0.25">
      <c r="B2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8E54-066F-4991-8436-FE4D69A3514A}">
  <dimension ref="A1:J36"/>
  <sheetViews>
    <sheetView topLeftCell="A7" workbookViewId="0">
      <selection activeCell="F21" sqref="F21"/>
    </sheetView>
  </sheetViews>
  <sheetFormatPr defaultRowHeight="15" x14ac:dyDescent="0.25"/>
  <sheetData>
    <row r="1" spans="1:10" ht="45" x14ac:dyDescent="0.25">
      <c r="A1" s="5" t="s">
        <v>19</v>
      </c>
      <c r="B1" t="s">
        <v>18</v>
      </c>
    </row>
    <row r="3" spans="1:10" x14ac:dyDescent="0.25">
      <c r="A3" s="3" t="s">
        <v>0</v>
      </c>
      <c r="B3" s="3" t="s">
        <v>1</v>
      </c>
      <c r="C3" s="2">
        <v>2023</v>
      </c>
      <c r="D3" s="2">
        <v>2024</v>
      </c>
      <c r="E3" s="2">
        <v>2025</v>
      </c>
      <c r="F3" s="3">
        <v>2026</v>
      </c>
      <c r="G3" s="3">
        <v>2027</v>
      </c>
      <c r="H3" s="3">
        <v>2028</v>
      </c>
      <c r="I3" s="3">
        <v>2029</v>
      </c>
      <c r="J3" s="3">
        <v>2030</v>
      </c>
    </row>
    <row r="4" spans="1:10" ht="30" x14ac:dyDescent="0.25">
      <c r="A4" s="5" t="s">
        <v>2</v>
      </c>
      <c r="B4" t="s">
        <v>3</v>
      </c>
      <c r="C4" s="8">
        <v>5970</v>
      </c>
      <c r="D4" s="8">
        <v>6589</v>
      </c>
      <c r="E4" s="8">
        <v>7146</v>
      </c>
    </row>
    <row r="5" spans="1:10" ht="45" x14ac:dyDescent="0.25">
      <c r="A5" s="6" t="s">
        <v>4</v>
      </c>
      <c r="B5" t="s">
        <v>3</v>
      </c>
      <c r="C5" s="8">
        <v>5122</v>
      </c>
      <c r="D5" s="8">
        <v>5670</v>
      </c>
      <c r="E5" s="8">
        <v>6180</v>
      </c>
    </row>
    <row r="6" spans="1:10" ht="60" x14ac:dyDescent="0.25">
      <c r="A6" s="6" t="s">
        <v>5</v>
      </c>
      <c r="B6" t="s">
        <v>3</v>
      </c>
      <c r="C6" s="1">
        <v>572</v>
      </c>
      <c r="D6" s="1">
        <v>610</v>
      </c>
      <c r="E6" s="1">
        <v>661</v>
      </c>
    </row>
    <row r="7" spans="1:10" ht="45" x14ac:dyDescent="0.25">
      <c r="A7" s="6" t="s">
        <v>6</v>
      </c>
      <c r="B7" t="s">
        <v>3</v>
      </c>
      <c r="C7" s="1">
        <v>276</v>
      </c>
      <c r="D7" s="1">
        <v>309</v>
      </c>
      <c r="E7" s="1">
        <v>305</v>
      </c>
    </row>
    <row r="8" spans="1:10" ht="45" x14ac:dyDescent="0.25">
      <c r="A8" s="5" t="s">
        <v>7</v>
      </c>
      <c r="B8" t="s">
        <v>3</v>
      </c>
      <c r="C8" s="8">
        <v>-3010</v>
      </c>
      <c r="D8" s="8">
        <v>-3280</v>
      </c>
      <c r="E8" s="8">
        <v>-3515</v>
      </c>
    </row>
    <row r="9" spans="1:10" ht="30" x14ac:dyDescent="0.25">
      <c r="A9" s="5" t="s">
        <v>8</v>
      </c>
      <c r="B9" t="s">
        <v>3</v>
      </c>
      <c r="C9" s="8">
        <v>-490</v>
      </c>
      <c r="D9" s="8">
        <v>-542</v>
      </c>
      <c r="E9" s="8">
        <v>-585</v>
      </c>
    </row>
    <row r="10" spans="1:10" ht="30" x14ac:dyDescent="0.25">
      <c r="A10" s="5" t="s">
        <v>9</v>
      </c>
      <c r="B10" t="s">
        <v>3</v>
      </c>
      <c r="C10" s="8">
        <v>-913</v>
      </c>
      <c r="D10" s="8">
        <v>-990</v>
      </c>
      <c r="E10" s="8">
        <v>-1046</v>
      </c>
    </row>
    <row r="11" spans="1:10" ht="30" x14ac:dyDescent="0.25">
      <c r="A11" s="5" t="s">
        <v>10</v>
      </c>
      <c r="B11" t="s">
        <v>3</v>
      </c>
      <c r="C11" s="8">
        <v>545</v>
      </c>
      <c r="D11" s="8">
        <v>602</v>
      </c>
      <c r="E11" s="8">
        <v>662</v>
      </c>
    </row>
    <row r="12" spans="1:10" ht="45" x14ac:dyDescent="0.25">
      <c r="A12" s="5" t="s">
        <v>11</v>
      </c>
      <c r="B12" t="s">
        <v>3</v>
      </c>
      <c r="C12" s="8">
        <v>-35</v>
      </c>
      <c r="D12" s="8">
        <v>-28</v>
      </c>
      <c r="E12" s="8">
        <v>-42</v>
      </c>
    </row>
    <row r="13" spans="1:10" ht="45" x14ac:dyDescent="0.25">
      <c r="A13" s="5" t="s">
        <v>12</v>
      </c>
      <c r="B13" s="7" t="s">
        <v>13</v>
      </c>
      <c r="C13" s="9">
        <v>0.21</v>
      </c>
      <c r="D13" s="9">
        <v>0.221</v>
      </c>
      <c r="E13" s="9">
        <v>0.218</v>
      </c>
    </row>
    <row r="15" spans="1:10" ht="45" x14ac:dyDescent="0.25">
      <c r="A15" s="5" t="s">
        <v>14</v>
      </c>
      <c r="D15" s="7">
        <v>0.104</v>
      </c>
      <c r="E15" s="7">
        <v>8.5000000000000006E-2</v>
      </c>
    </row>
    <row r="16" spans="1:10" ht="60" x14ac:dyDescent="0.25">
      <c r="A16" s="5" t="s">
        <v>15</v>
      </c>
      <c r="C16" s="7">
        <v>0.504</v>
      </c>
      <c r="D16" s="7">
        <v>0.498</v>
      </c>
      <c r="E16" s="7">
        <v>0.49199999999999999</v>
      </c>
    </row>
    <row r="17" spans="1:10" ht="30" x14ac:dyDescent="0.25">
      <c r="A17" s="5" t="s">
        <v>16</v>
      </c>
      <c r="C17" s="7">
        <v>8.2000000000000003E-2</v>
      </c>
      <c r="D17" s="7">
        <v>8.2000000000000003E-2</v>
      </c>
      <c r="E17" s="7">
        <v>8.2000000000000003E-2</v>
      </c>
    </row>
    <row r="18" spans="1:10" ht="30" x14ac:dyDescent="0.25">
      <c r="A18" s="5" t="s">
        <v>17</v>
      </c>
      <c r="C18" s="7">
        <v>0.153</v>
      </c>
      <c r="D18" s="7">
        <v>0.15</v>
      </c>
    </row>
    <row r="20" spans="1:10" ht="45" x14ac:dyDescent="0.25">
      <c r="A20" s="5" t="s">
        <v>21</v>
      </c>
      <c r="F20">
        <f>IF($B$1="Base", 0.055, IF($B$1="Upside", 0.075, 0.02))</f>
        <v>5.5E-2</v>
      </c>
      <c r="G20">
        <f t="shared" ref="G20:J20" si="0">IF($B$1="Base", 0.055, IF($B$1="Upside", 0.075, 0.02))</f>
        <v>5.5E-2</v>
      </c>
      <c r="H20">
        <f t="shared" si="0"/>
        <v>5.5E-2</v>
      </c>
      <c r="I20">
        <f t="shared" si="0"/>
        <v>5.5E-2</v>
      </c>
      <c r="J20">
        <f t="shared" si="0"/>
        <v>5.5E-2</v>
      </c>
    </row>
    <row r="21" spans="1:10" ht="60" x14ac:dyDescent="0.25">
      <c r="A21" s="5" t="s">
        <v>20</v>
      </c>
      <c r="F21" s="7">
        <f>IF($B$1="Base", 0.49, IF($B$1="Upside", 0.48, 0.505))</f>
        <v>0.49</v>
      </c>
      <c r="G21" s="7">
        <f t="shared" ref="G21:J21" si="1">IF($B$1="Base", 0.49, IF($B$1="Upside", 0.48, 0.505))</f>
        <v>0.49</v>
      </c>
      <c r="H21" s="7">
        <f t="shared" si="1"/>
        <v>0.49</v>
      </c>
      <c r="I21" s="7">
        <f t="shared" si="1"/>
        <v>0.49</v>
      </c>
      <c r="J21" s="7">
        <f t="shared" si="1"/>
        <v>0.49</v>
      </c>
    </row>
    <row r="22" spans="1:10" ht="30" x14ac:dyDescent="0.25">
      <c r="A22" s="5" t="s">
        <v>16</v>
      </c>
      <c r="F22">
        <f>IF($B$1="Base", 0.082, IF($B$1="Upside", 0.08, 0.085))</f>
        <v>8.2000000000000003E-2</v>
      </c>
      <c r="G22">
        <f t="shared" ref="G22:J22" si="2">IF($B$1="Base", 0.082, IF($B$1="Upside", 0.08, 0.085))</f>
        <v>8.2000000000000003E-2</v>
      </c>
      <c r="H22">
        <f t="shared" si="2"/>
        <v>8.2000000000000003E-2</v>
      </c>
      <c r="I22">
        <f t="shared" si="2"/>
        <v>8.2000000000000003E-2</v>
      </c>
      <c r="J22">
        <f t="shared" si="2"/>
        <v>8.2000000000000003E-2</v>
      </c>
    </row>
    <row r="23" spans="1:10" ht="30" x14ac:dyDescent="0.25">
      <c r="A23" s="5" t="s">
        <v>17</v>
      </c>
      <c r="F23" s="7">
        <f>IF($B$1="Base", 0.145, IF($B$1="Upside", 0.14, 0.15))</f>
        <v>0.14499999999999999</v>
      </c>
      <c r="G23" s="7">
        <f t="shared" ref="G23:J23" si="3">IF($B$1="Base", 0.145, IF($B$1="Upside", 0.14, 0.15))</f>
        <v>0.14499999999999999</v>
      </c>
      <c r="H23" s="7">
        <f t="shared" si="3"/>
        <v>0.14499999999999999</v>
      </c>
      <c r="I23" s="7">
        <f t="shared" si="3"/>
        <v>0.14499999999999999</v>
      </c>
      <c r="J23" s="7">
        <f t="shared" si="3"/>
        <v>0.14499999999999999</v>
      </c>
    </row>
    <row r="24" spans="1:10" x14ac:dyDescent="0.25">
      <c r="A24" s="5"/>
      <c r="F24" s="7"/>
      <c r="G24" s="7"/>
      <c r="H24" s="7"/>
      <c r="I24" s="7"/>
      <c r="J24" s="7"/>
    </row>
    <row r="26" spans="1:10" x14ac:dyDescent="0.25">
      <c r="A26" s="5"/>
    </row>
    <row r="27" spans="1:10" x14ac:dyDescent="0.25">
      <c r="A27" s="5"/>
      <c r="F27" s="7"/>
      <c r="G27" s="7"/>
      <c r="H27" s="7"/>
      <c r="I27" s="7"/>
      <c r="J27" s="7"/>
    </row>
    <row r="28" spans="1:10" x14ac:dyDescent="0.25">
      <c r="A28" s="5"/>
      <c r="F28" s="7"/>
      <c r="G28" s="7"/>
      <c r="H28" s="7"/>
      <c r="I28" s="7"/>
      <c r="J28" s="7"/>
    </row>
    <row r="29" spans="1:10" x14ac:dyDescent="0.25">
      <c r="A29" s="5"/>
      <c r="F29" s="7"/>
      <c r="G29" s="7"/>
      <c r="H29" s="7"/>
      <c r="I29" s="7"/>
      <c r="J29" s="7"/>
    </row>
    <row r="30" spans="1:10" x14ac:dyDescent="0.25">
      <c r="A30" s="5"/>
      <c r="F30" s="7"/>
      <c r="G30" s="7"/>
      <c r="H30" s="7"/>
      <c r="I30" s="7"/>
      <c r="J30" s="7"/>
    </row>
    <row r="32" spans="1:10" x14ac:dyDescent="0.25">
      <c r="A32" s="5"/>
    </row>
    <row r="33" spans="1:10" x14ac:dyDescent="0.25">
      <c r="A33" s="5"/>
      <c r="F33" s="7"/>
      <c r="G33" s="7"/>
      <c r="H33" s="7"/>
      <c r="I33" s="7"/>
      <c r="J33" s="7"/>
    </row>
    <row r="34" spans="1:10" x14ac:dyDescent="0.25">
      <c r="A34" s="5"/>
      <c r="F34" s="7"/>
      <c r="G34" s="7"/>
      <c r="H34" s="7"/>
      <c r="I34" s="7"/>
      <c r="J34" s="7"/>
    </row>
    <row r="35" spans="1:10" x14ac:dyDescent="0.25">
      <c r="A35" s="5"/>
      <c r="F35" s="7"/>
      <c r="G35" s="7"/>
      <c r="H35" s="7"/>
      <c r="I35" s="7"/>
      <c r="J35" s="7"/>
    </row>
    <row r="36" spans="1:10" x14ac:dyDescent="0.25">
      <c r="A36" s="5"/>
      <c r="F36" s="7"/>
      <c r="G36" s="7"/>
      <c r="H36" s="7"/>
      <c r="I36" s="7"/>
      <c r="J36" s="7"/>
    </row>
  </sheetData>
  <dataValidations count="1">
    <dataValidation type="list" allowBlank="1" showInputMessage="1" showErrorMessage="1" sqref="B1" xr:uid="{D2DF9688-620E-41B4-BB9C-4DB02C671840}">
      <formula1>"Base,Upside,Downside"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ECE4-D606-4364-99FB-26795BAD936D}">
  <dimension ref="A3:J10"/>
  <sheetViews>
    <sheetView workbookViewId="0">
      <selection activeCell="M9" sqref="M9"/>
    </sheetView>
  </sheetViews>
  <sheetFormatPr defaultRowHeight="15" x14ac:dyDescent="0.25"/>
  <sheetData>
    <row r="3" spans="1:10" ht="30" x14ac:dyDescent="0.25">
      <c r="A3" s="5" t="s">
        <v>22</v>
      </c>
      <c r="B3" s="3" t="s">
        <v>23</v>
      </c>
      <c r="C3" s="3">
        <v>2023</v>
      </c>
      <c r="D3" s="3">
        <v>2024</v>
      </c>
      <c r="E3" s="3">
        <v>2025</v>
      </c>
      <c r="F3" s="3">
        <v>2026</v>
      </c>
      <c r="G3" s="3">
        <v>2027</v>
      </c>
      <c r="H3" s="3">
        <v>2028</v>
      </c>
      <c r="I3" s="3">
        <v>2029</v>
      </c>
      <c r="J3" s="3">
        <v>2030</v>
      </c>
    </row>
    <row r="4" spans="1:10" ht="30" x14ac:dyDescent="0.25">
      <c r="A4" s="5" t="s">
        <v>2</v>
      </c>
      <c r="B4" t="s">
        <v>24</v>
      </c>
      <c r="C4" s="8">
        <v>5970</v>
      </c>
      <c r="D4" s="8">
        <v>6589</v>
      </c>
      <c r="E4" s="8">
        <v>7146</v>
      </c>
      <c r="F4" s="8">
        <v>7539</v>
      </c>
      <c r="G4" s="8">
        <v>7954</v>
      </c>
      <c r="H4" s="8">
        <v>8391</v>
      </c>
      <c r="I4" s="8">
        <v>8853</v>
      </c>
      <c r="J4" s="8">
        <v>9340</v>
      </c>
    </row>
    <row r="5" spans="1:10" ht="45" x14ac:dyDescent="0.25">
      <c r="A5" s="5" t="s">
        <v>25</v>
      </c>
      <c r="B5" t="s">
        <v>24</v>
      </c>
      <c r="C5" s="8">
        <v>-3010</v>
      </c>
      <c r="D5" s="8">
        <v>-3280</v>
      </c>
      <c r="E5" s="8">
        <v>-3515</v>
      </c>
      <c r="F5" s="8">
        <v>-3694</v>
      </c>
      <c r="G5" s="8">
        <v>-3897</v>
      </c>
      <c r="H5" s="8">
        <v>-4112</v>
      </c>
      <c r="I5" s="8">
        <v>-4338</v>
      </c>
      <c r="J5" s="8">
        <v>-4577</v>
      </c>
    </row>
    <row r="6" spans="1:10" x14ac:dyDescent="0.25">
      <c r="A6" s="5" t="s">
        <v>26</v>
      </c>
      <c r="B6" t="s">
        <v>24</v>
      </c>
      <c r="C6" s="4">
        <f>C4+C5</f>
        <v>2960</v>
      </c>
      <c r="D6" s="4">
        <f>D4+D5</f>
        <v>3309</v>
      </c>
      <c r="E6" s="4">
        <f>E4+E5</f>
        <v>3631</v>
      </c>
      <c r="F6" s="4">
        <f>F4+F5</f>
        <v>3845</v>
      </c>
      <c r="G6" s="4">
        <v>4057</v>
      </c>
      <c r="H6" s="4">
        <v>4279</v>
      </c>
      <c r="I6" s="4">
        <v>4515</v>
      </c>
      <c r="J6" s="4">
        <v>4763</v>
      </c>
    </row>
    <row r="7" spans="1:10" ht="30" x14ac:dyDescent="0.25">
      <c r="A7" s="5" t="s">
        <v>8</v>
      </c>
      <c r="B7" t="s">
        <v>24</v>
      </c>
      <c r="C7" s="8">
        <v>-490</v>
      </c>
      <c r="D7" s="8">
        <v>-542</v>
      </c>
      <c r="E7" s="8">
        <v>-585</v>
      </c>
      <c r="F7" s="8">
        <v>-618</v>
      </c>
      <c r="G7" s="8">
        <v>-652</v>
      </c>
      <c r="H7" s="8">
        <v>-688</v>
      </c>
      <c r="I7" s="8">
        <v>-726</v>
      </c>
      <c r="J7" s="8">
        <v>-766</v>
      </c>
    </row>
    <row r="8" spans="1:10" ht="30" x14ac:dyDescent="0.25">
      <c r="A8" s="5" t="s">
        <v>9</v>
      </c>
      <c r="B8" t="s">
        <v>24</v>
      </c>
      <c r="C8" s="8">
        <v>-913</v>
      </c>
      <c r="D8" s="8">
        <v>-990</v>
      </c>
      <c r="E8" s="8">
        <v>-1046</v>
      </c>
      <c r="F8" s="8">
        <v>-1093</v>
      </c>
      <c r="G8" s="8">
        <v>-1153</v>
      </c>
      <c r="H8" s="8">
        <v>-1217</v>
      </c>
      <c r="I8" s="8">
        <v>-1284</v>
      </c>
      <c r="J8" s="8">
        <v>-1354</v>
      </c>
    </row>
    <row r="9" spans="1:10" ht="30" x14ac:dyDescent="0.25">
      <c r="A9" s="5" t="s">
        <v>10</v>
      </c>
      <c r="B9" t="s">
        <v>24</v>
      </c>
      <c r="C9" s="8">
        <v>-545</v>
      </c>
      <c r="D9" s="8">
        <v>-602</v>
      </c>
      <c r="E9" s="8">
        <v>-662</v>
      </c>
      <c r="F9" s="4">
        <v>-694</v>
      </c>
      <c r="G9" s="4">
        <v>-732</v>
      </c>
      <c r="H9" s="4">
        <v>-772</v>
      </c>
      <c r="I9" s="4">
        <v>-814</v>
      </c>
      <c r="J9" s="4">
        <v>-859</v>
      </c>
    </row>
    <row r="10" spans="1:10" x14ac:dyDescent="0.25">
      <c r="A10" s="5" t="s">
        <v>27</v>
      </c>
      <c r="B10" t="s">
        <v>24</v>
      </c>
      <c r="C10" s="4">
        <f>C6+C7+C8+C9</f>
        <v>1012</v>
      </c>
      <c r="D10" s="4">
        <f>D6+D7+D8+D9</f>
        <v>1175</v>
      </c>
      <c r="E10" s="4">
        <f>E6+E7+E8+E9</f>
        <v>1338</v>
      </c>
      <c r="F10" s="4">
        <v>1440</v>
      </c>
      <c r="G10" s="4">
        <v>1520</v>
      </c>
      <c r="H10" s="4">
        <v>1602</v>
      </c>
      <c r="I10" s="4">
        <v>1691</v>
      </c>
      <c r="J10" s="4">
        <v>1784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C697-9753-4105-A7A0-94B2C621643C}">
  <dimension ref="A3:J15"/>
  <sheetViews>
    <sheetView topLeftCell="A7" workbookViewId="0">
      <selection activeCell="J4" sqref="J4"/>
    </sheetView>
  </sheetViews>
  <sheetFormatPr defaultRowHeight="15" x14ac:dyDescent="0.25"/>
  <sheetData>
    <row r="3" spans="1:10" x14ac:dyDescent="0.25">
      <c r="A3" s="3" t="s">
        <v>33</v>
      </c>
      <c r="B3" s="3" t="s">
        <v>23</v>
      </c>
      <c r="C3" s="3">
        <v>2023</v>
      </c>
      <c r="D3" s="3">
        <v>2024</v>
      </c>
      <c r="E3" s="3">
        <v>2025</v>
      </c>
      <c r="F3" s="3">
        <v>2026</v>
      </c>
      <c r="G3" s="3">
        <v>2027</v>
      </c>
      <c r="H3" s="3">
        <v>2028</v>
      </c>
      <c r="I3" s="3">
        <v>2029</v>
      </c>
      <c r="J3" s="3">
        <v>2030</v>
      </c>
    </row>
    <row r="4" spans="1:10" ht="60" x14ac:dyDescent="0.25">
      <c r="A4" s="5" t="s">
        <v>28</v>
      </c>
      <c r="B4" t="s">
        <v>3</v>
      </c>
      <c r="C4" s="8">
        <v>1412</v>
      </c>
      <c r="D4" s="8">
        <v>1540</v>
      </c>
      <c r="E4" s="8">
        <v>1710</v>
      </c>
      <c r="F4" s="10">
        <f>'Cash Flow Statement'!F14</f>
        <v>1776</v>
      </c>
      <c r="G4" s="4">
        <f>'Cash Flow Statement'!G14</f>
        <v>1862</v>
      </c>
      <c r="H4" s="4">
        <f>'Cash Flow Statement'!H14</f>
        <v>1969</v>
      </c>
      <c r="I4" s="4">
        <f>'Cash Flow Statement'!I14</f>
        <v>2102</v>
      </c>
      <c r="J4" s="4">
        <f>'Cash Flow Statement'!J14</f>
        <v>2264</v>
      </c>
    </row>
    <row r="5" spans="1:10" ht="45" x14ac:dyDescent="0.25">
      <c r="A5" s="5" t="s">
        <v>29</v>
      </c>
      <c r="B5" t="s">
        <v>3</v>
      </c>
      <c r="C5" s="1">
        <v>710</v>
      </c>
      <c r="D5" s="1">
        <v>790</v>
      </c>
      <c r="E5" s="1">
        <v>851</v>
      </c>
      <c r="F5" s="1">
        <v>898</v>
      </c>
      <c r="G5" s="1">
        <v>947</v>
      </c>
      <c r="H5" s="8">
        <v>1000</v>
      </c>
      <c r="I5" s="8">
        <v>1055</v>
      </c>
      <c r="J5" s="8">
        <v>1113</v>
      </c>
    </row>
    <row r="6" spans="1:10" ht="30" x14ac:dyDescent="0.25">
      <c r="A6" s="5" t="s">
        <v>30</v>
      </c>
      <c r="B6" t="s">
        <v>3</v>
      </c>
      <c r="C6" s="1">
        <v>620</v>
      </c>
      <c r="D6" s="1">
        <v>692</v>
      </c>
      <c r="E6" s="1">
        <v>748</v>
      </c>
      <c r="F6" s="1">
        <v>786</v>
      </c>
      <c r="G6" s="1">
        <v>829</v>
      </c>
      <c r="H6" s="1">
        <v>875</v>
      </c>
      <c r="I6" s="1">
        <v>923</v>
      </c>
      <c r="J6" s="1">
        <v>974</v>
      </c>
    </row>
    <row r="7" spans="1:10" ht="45" x14ac:dyDescent="0.25">
      <c r="A7" s="5" t="s">
        <v>31</v>
      </c>
      <c r="B7" t="s">
        <v>3</v>
      </c>
      <c r="C7" s="8">
        <v>2840</v>
      </c>
      <c r="D7" s="8">
        <v>3120</v>
      </c>
      <c r="E7" s="8">
        <v>3420</v>
      </c>
      <c r="F7" s="8">
        <v>3625</v>
      </c>
      <c r="G7" s="8">
        <v>3843</v>
      </c>
      <c r="H7" s="8">
        <v>4073</v>
      </c>
      <c r="I7" s="8">
        <v>4318</v>
      </c>
      <c r="J7" s="8">
        <v>4577</v>
      </c>
    </row>
    <row r="8" spans="1:10" ht="30" x14ac:dyDescent="0.25">
      <c r="A8" s="5" t="s">
        <v>32</v>
      </c>
      <c r="B8" t="s">
        <v>3</v>
      </c>
      <c r="C8" s="4">
        <f>SUM(C4:C7)</f>
        <v>5582</v>
      </c>
      <c r="D8" s="4">
        <f t="shared" ref="D8:E8" si="0">SUM(D4:D7)</f>
        <v>6142</v>
      </c>
      <c r="E8" s="4">
        <f t="shared" si="0"/>
        <v>6729</v>
      </c>
      <c r="F8">
        <f>SUM(F4:F7)</f>
        <v>7085</v>
      </c>
      <c r="G8">
        <f t="shared" ref="G8:J8" si="1">SUM(G4:G7)</f>
        <v>7481</v>
      </c>
      <c r="H8">
        <f t="shared" si="1"/>
        <v>7917</v>
      </c>
      <c r="I8">
        <f t="shared" si="1"/>
        <v>8398</v>
      </c>
      <c r="J8">
        <f t="shared" si="1"/>
        <v>8928</v>
      </c>
    </row>
    <row r="9" spans="1:10" ht="45" x14ac:dyDescent="0.25">
      <c r="A9" s="5" t="s">
        <v>34</v>
      </c>
      <c r="B9" s="3" t="s">
        <v>35</v>
      </c>
      <c r="C9" s="3">
        <v>2023</v>
      </c>
      <c r="D9" s="3">
        <v>2024</v>
      </c>
      <c r="E9" s="3">
        <v>2025</v>
      </c>
      <c r="F9" s="3">
        <v>2026</v>
      </c>
      <c r="G9" s="3">
        <v>2027</v>
      </c>
      <c r="H9" s="3">
        <v>2028</v>
      </c>
      <c r="I9" s="3">
        <v>2029</v>
      </c>
      <c r="J9" s="3">
        <v>2030</v>
      </c>
    </row>
    <row r="10" spans="1:10" ht="30" x14ac:dyDescent="0.25">
      <c r="A10" s="5" t="s">
        <v>36</v>
      </c>
      <c r="B10" t="s">
        <v>3</v>
      </c>
      <c r="C10" s="1">
        <v>942</v>
      </c>
      <c r="D10" s="8">
        <v>1012</v>
      </c>
      <c r="E10" s="8">
        <v>1090</v>
      </c>
      <c r="F10" s="8">
        <v>1146</v>
      </c>
      <c r="G10" s="8">
        <v>1209</v>
      </c>
      <c r="H10" s="8">
        <v>1275</v>
      </c>
      <c r="I10" s="8">
        <v>1345</v>
      </c>
      <c r="J10" s="8">
        <v>1419</v>
      </c>
    </row>
    <row r="11" spans="1:10" ht="30" x14ac:dyDescent="0.25">
      <c r="A11" s="5" t="s">
        <v>37</v>
      </c>
      <c r="B11" t="s">
        <v>3</v>
      </c>
      <c r="C11" s="8">
        <v>2650</v>
      </c>
      <c r="D11" s="8">
        <v>2780</v>
      </c>
      <c r="E11" s="8">
        <v>2910</v>
      </c>
      <c r="F11" s="8">
        <v>2910</v>
      </c>
      <c r="G11" s="8">
        <v>2910</v>
      </c>
      <c r="H11" s="8">
        <v>2910</v>
      </c>
      <c r="I11" s="8">
        <v>2910</v>
      </c>
      <c r="J11" s="8">
        <v>2910</v>
      </c>
    </row>
    <row r="12" spans="1:10" ht="45" x14ac:dyDescent="0.25">
      <c r="A12" s="5" t="s">
        <v>38</v>
      </c>
      <c r="B12" t="s">
        <v>3</v>
      </c>
      <c r="C12" s="8">
        <v>1990</v>
      </c>
      <c r="D12" s="8">
        <v>2350</v>
      </c>
      <c r="E12" s="8">
        <v>2729</v>
      </c>
      <c r="F12" s="8">
        <v>3029</v>
      </c>
      <c r="G12" s="8">
        <v>3362</v>
      </c>
      <c r="H12" s="8">
        <v>3732</v>
      </c>
      <c r="I12" s="8">
        <v>4143</v>
      </c>
      <c r="J12" s="8">
        <v>4599</v>
      </c>
    </row>
    <row r="13" spans="1:10" x14ac:dyDescent="0.25">
      <c r="A13" s="5" t="s">
        <v>39</v>
      </c>
      <c r="B13" t="s">
        <v>3</v>
      </c>
      <c r="C13">
        <f>SUM(C10:C12)</f>
        <v>5582</v>
      </c>
      <c r="D13">
        <f t="shared" ref="D13:E13" si="2">SUM(D10:D12)</f>
        <v>6142</v>
      </c>
      <c r="E13">
        <f t="shared" si="2"/>
        <v>6729</v>
      </c>
      <c r="F13" s="4">
        <f>SUM(F10:F12)</f>
        <v>7085</v>
      </c>
      <c r="G13" s="4">
        <f t="shared" ref="G13:J13" si="3">SUM(G10:G12)</f>
        <v>7481</v>
      </c>
      <c r="H13" s="4">
        <f t="shared" si="3"/>
        <v>7917</v>
      </c>
      <c r="I13" s="4">
        <f t="shared" si="3"/>
        <v>8398</v>
      </c>
      <c r="J13" s="4">
        <f t="shared" si="3"/>
        <v>8928</v>
      </c>
    </row>
    <row r="15" spans="1:10" ht="30" x14ac:dyDescent="0.25">
      <c r="A15" s="5" t="s">
        <v>40</v>
      </c>
      <c r="C15" s="4">
        <f>C8-C13</f>
        <v>0</v>
      </c>
      <c r="D15" s="4">
        <f t="shared" ref="D15:E15" si="4">D8-D13</f>
        <v>0</v>
      </c>
      <c r="E15" s="4">
        <f t="shared" si="4"/>
        <v>0</v>
      </c>
      <c r="F15" s="4">
        <f>F8-F13</f>
        <v>0</v>
      </c>
      <c r="G15" s="4">
        <f t="shared" ref="G15:J15" si="5">G8-G13</f>
        <v>0</v>
      </c>
      <c r="H15" s="4">
        <f t="shared" si="5"/>
        <v>0</v>
      </c>
      <c r="I15" s="4">
        <f t="shared" si="5"/>
        <v>0</v>
      </c>
      <c r="J15" s="4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A94C-43BC-44B9-9E09-FA3F99A30C21}">
  <dimension ref="A3:J14"/>
  <sheetViews>
    <sheetView workbookViewId="0">
      <selection activeCell="J13" sqref="J13"/>
    </sheetView>
  </sheetViews>
  <sheetFormatPr defaultRowHeight="15" x14ac:dyDescent="0.25"/>
  <sheetData>
    <row r="3" spans="1:10" x14ac:dyDescent="0.25">
      <c r="A3" s="3" t="s">
        <v>51</v>
      </c>
      <c r="B3" s="3" t="s">
        <v>23</v>
      </c>
      <c r="C3" s="3">
        <v>2023</v>
      </c>
      <c r="D3" s="3">
        <v>2024</v>
      </c>
      <c r="E3" s="3">
        <v>2025</v>
      </c>
      <c r="F3" s="3">
        <v>2026</v>
      </c>
      <c r="G3" s="3">
        <v>2027</v>
      </c>
      <c r="H3" s="3">
        <v>2028</v>
      </c>
      <c r="I3" s="3">
        <v>2029</v>
      </c>
      <c r="J3" s="3">
        <v>2030</v>
      </c>
    </row>
    <row r="4" spans="1:10" x14ac:dyDescent="0.25">
      <c r="A4" s="3" t="s">
        <v>27</v>
      </c>
      <c r="B4" t="s">
        <v>3</v>
      </c>
    </row>
    <row r="5" spans="1:10" x14ac:dyDescent="0.25">
      <c r="A5" s="3" t="s">
        <v>41</v>
      </c>
      <c r="B5" t="s">
        <v>3</v>
      </c>
    </row>
    <row r="6" spans="1:10" ht="60" x14ac:dyDescent="0.25">
      <c r="A6" s="5" t="s">
        <v>42</v>
      </c>
      <c r="B6" t="s">
        <v>3</v>
      </c>
    </row>
    <row r="7" spans="1:10" ht="60" x14ac:dyDescent="0.25">
      <c r="A7" s="5" t="s">
        <v>43</v>
      </c>
      <c r="B7" t="s">
        <v>3</v>
      </c>
    </row>
    <row r="8" spans="1:10" ht="45" x14ac:dyDescent="0.25">
      <c r="A8" s="5" t="s">
        <v>44</v>
      </c>
      <c r="B8" t="s">
        <v>3</v>
      </c>
    </row>
    <row r="9" spans="1:10" ht="60" x14ac:dyDescent="0.25">
      <c r="A9" s="5" t="s">
        <v>45</v>
      </c>
      <c r="B9" t="s">
        <v>3</v>
      </c>
    </row>
    <row r="10" spans="1:10" ht="90" x14ac:dyDescent="0.25">
      <c r="A10" s="5" t="s">
        <v>46</v>
      </c>
      <c r="B10" t="s">
        <v>3</v>
      </c>
    </row>
    <row r="11" spans="1:10" ht="60" x14ac:dyDescent="0.25">
      <c r="A11" s="5" t="s">
        <v>47</v>
      </c>
      <c r="B11" t="s">
        <v>3</v>
      </c>
    </row>
    <row r="12" spans="1:10" ht="45" x14ac:dyDescent="0.25">
      <c r="A12" s="5" t="s">
        <v>48</v>
      </c>
      <c r="B12" t="s">
        <v>3</v>
      </c>
      <c r="F12" s="1">
        <v>66</v>
      </c>
      <c r="G12" s="1">
        <v>86</v>
      </c>
      <c r="H12" s="1">
        <v>107</v>
      </c>
      <c r="I12" s="1">
        <v>133</v>
      </c>
      <c r="J12" s="1">
        <v>162</v>
      </c>
    </row>
    <row r="13" spans="1:10" ht="30" x14ac:dyDescent="0.25">
      <c r="A13" s="5" t="s">
        <v>49</v>
      </c>
      <c r="B13" t="s">
        <v>3</v>
      </c>
      <c r="F13" s="4">
        <v>1710</v>
      </c>
      <c r="G13" s="4">
        <f>F14</f>
        <v>1776</v>
      </c>
      <c r="H13" s="4">
        <f>G14</f>
        <v>1862</v>
      </c>
      <c r="I13" s="4">
        <f>H14</f>
        <v>1969</v>
      </c>
      <c r="J13" s="4">
        <f>I14</f>
        <v>2102</v>
      </c>
    </row>
    <row r="14" spans="1:10" ht="30" x14ac:dyDescent="0.25">
      <c r="A14" s="5" t="s">
        <v>50</v>
      </c>
      <c r="B14" t="s">
        <v>3</v>
      </c>
      <c r="F14" s="4">
        <f>F12+F13</f>
        <v>1776</v>
      </c>
      <c r="G14" s="4">
        <f>G12+G13</f>
        <v>1862</v>
      </c>
      <c r="H14" s="4">
        <f>H12+H13</f>
        <v>1969</v>
      </c>
      <c r="I14" s="4">
        <f>I12+I13</f>
        <v>2102</v>
      </c>
      <c r="J14" s="4">
        <f>J12+J13</f>
        <v>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Cover</vt:lpstr>
      <vt:lpstr>Assumptions </vt:lpstr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Avellino</dc:creator>
  <cp:lastModifiedBy>Marco Avellino</cp:lastModifiedBy>
  <dcterms:created xsi:type="dcterms:W3CDTF">2026-09-16T17:53:23Z</dcterms:created>
  <dcterms:modified xsi:type="dcterms:W3CDTF">2026-09-16T21:17:46Z</dcterms:modified>
</cp:coreProperties>
</file>